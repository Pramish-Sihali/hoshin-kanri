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Dish Home\DH Solution Design\"/>
    </mc:Choice>
  </mc:AlternateContent>
  <bookViews>
    <workbookView xWindow="0" yWindow="0" windowWidth="21600" windowHeight="10245" activeTab="1"/>
  </bookViews>
  <sheets>
    <sheet name="Leadership Charter" sheetId="1" r:id="rId1"/>
    <sheet name="Intervention Design" sheetId="2" r:id="rId2"/>
    <sheet name="Intervention Heatmap" sheetId="3" r:id="rId3"/>
    <sheet name="Gantt" sheetId="7" r:id="rId4"/>
    <sheet name="KPI Tracker" sheetId="4" r:id="rId5"/>
  </sheets>
  <calcPr calcId="152511"/>
</workbook>
</file>

<file path=xl/calcChain.xml><?xml version="1.0" encoding="utf-8"?>
<calcChain xmlns="http://schemas.openxmlformats.org/spreadsheetml/2006/main">
  <c r="F8" i="2" l="1"/>
</calcChain>
</file>

<file path=xl/sharedStrings.xml><?xml version="1.0" encoding="utf-8"?>
<sst xmlns="http://schemas.openxmlformats.org/spreadsheetml/2006/main" count="361" uniqueCount="261">
  <si>
    <t>Core Mandate</t>
  </si>
  <si>
    <t>Primary Accountability</t>
  </si>
  <si>
    <t>Out of Scope</t>
  </si>
  <si>
    <t>Governance Rhythm</t>
  </si>
  <si>
    <t>Process Accountability</t>
  </si>
  <si>
    <t>Current State</t>
  </si>
  <si>
    <t>Key Challenges</t>
  </si>
  <si>
    <t>Financial</t>
  </si>
  <si>
    <t>Institutional capital allocator</t>
  </si>
  <si>
    <t>High leverage, low capital discipline</t>
  </si>
  <si>
    <t>Process</t>
  </si>
  <si>
    <t>Functional silos, weak execution tracking</t>
  </si>
  <si>
    <t>Integration-ready execution model</t>
  </si>
  <si>
    <t>Predictable delivery cadence</t>
  </si>
  <si>
    <t>Self-optimizing operating system</t>
  </si>
  <si>
    <t>Project overrun, weak accountability</t>
  </si>
  <si>
    <t>Technology</t>
  </si>
  <si>
    <t>Low automation, OTT experimental</t>
  </si>
  <si>
    <t>Platform scale achieved</t>
  </si>
  <si>
    <t>Advanced analytics &amp; AI</t>
  </si>
  <si>
    <t>Enterprise digital backbone</t>
  </si>
  <si>
    <t>High unit cost, data silos</t>
  </si>
  <si>
    <t>RPA factory, AI ops, platform architecture</t>
  </si>
  <si>
    <t>People &amp; Capability</t>
  </si>
  <si>
    <t>Operator-led, weak succession</t>
  </si>
  <si>
    <t>Strong integration squads</t>
  </si>
  <si>
    <t>Dependency on individuals</t>
  </si>
  <si>
    <t>Performance contracts, succession architecture</t>
  </si>
  <si>
    <t>Area</t>
  </si>
  <si>
    <t>12-24m</t>
  </si>
  <si>
    <t>24-36m</t>
  </si>
  <si>
    <t>36-48m</t>
  </si>
  <si>
    <t>48-60m</t>
  </si>
  <si>
    <t>Capital Discipline</t>
  </si>
  <si>
    <t>Very High</t>
  </si>
  <si>
    <t>High</t>
  </si>
  <si>
    <t>Medium</t>
  </si>
  <si>
    <t>Institutionalized</t>
  </si>
  <si>
    <t>Cash EBITDA Control</t>
  </si>
  <si>
    <t>Lean Value Streams</t>
  </si>
  <si>
    <t>Enterprise PMO</t>
  </si>
  <si>
    <t>RPA / Automation</t>
  </si>
  <si>
    <t>AI Ops &amp; Platforms</t>
  </si>
  <si>
    <t>Low</t>
  </si>
  <si>
    <t>Leadership Contracts</t>
  </si>
  <si>
    <t>Succession Depth</t>
  </si>
  <si>
    <t>KPI</t>
  </si>
  <si>
    <t>Baseline</t>
  </si>
  <si>
    <t>12M Target</t>
  </si>
  <si>
    <t>24M Target</t>
  </si>
  <si>
    <t>36M Target</t>
  </si>
  <si>
    <t>48M Target</t>
  </si>
  <si>
    <t>60M Target</t>
  </si>
  <si>
    <t>Owner</t>
  </si>
  <si>
    <t>EBITDA Margin</t>
  </si>
  <si>
    <t>3–6%</t>
  </si>
  <si>
    <t>7–9%</t>
  </si>
  <si>
    <t>12–15%</t>
  </si>
  <si>
    <t>15–18%</t>
  </si>
  <si>
    <t>17–20%</t>
  </si>
  <si>
    <t>18–22%</t>
  </si>
  <si>
    <t>CFO</t>
  </si>
  <si>
    <t>Cash EBITDA</t>
  </si>
  <si>
    <t>Volatile</t>
  </si>
  <si>
    <t>Positive</t>
  </si>
  <si>
    <t>Consistent</t>
  </si>
  <si>
    <t>Strong</t>
  </si>
  <si>
    <t>Scalable</t>
  </si>
  <si>
    <t>Strategic</t>
  </si>
  <si>
    <t>Net Debt / EBITDA</t>
  </si>
  <si>
    <t>&gt;5x</t>
  </si>
  <si>
    <t>&lt;4.0x</t>
  </si>
  <si>
    <t>&lt;3.0x</t>
  </si>
  <si>
    <t>&lt;2.5x</t>
  </si>
  <si>
    <t>&lt;2.2x</t>
  </si>
  <si>
    <t>&lt;2.0x</t>
  </si>
  <si>
    <t>Enterprise Revenue Share</t>
  </si>
  <si>
    <t>&lt;8%</t>
  </si>
  <si>
    <t>10–12%</t>
  </si>
  <si>
    <t>15–20%</t>
  </si>
  <si>
    <t>22–28%</t>
  </si>
  <si>
    <t>28–32%</t>
  </si>
  <si>
    <t>30%+</t>
  </si>
  <si>
    <t>CMO</t>
  </si>
  <si>
    <t>Automation Penetration</t>
  </si>
  <si>
    <t>10–15%</t>
  </si>
  <si>
    <t>25–35%</t>
  </si>
  <si>
    <t>45–55%</t>
  </si>
  <si>
    <t>60%+</t>
  </si>
  <si>
    <t>AI-led</t>
  </si>
  <si>
    <t>CTO</t>
  </si>
  <si>
    <t>Leadership Bench Coverage</t>
  </si>
  <si>
    <t>Weak</t>
  </si>
  <si>
    <t>Defined</t>
  </si>
  <si>
    <t>Developing</t>
  </si>
  <si>
    <t>Deep</t>
  </si>
  <si>
    <t>Institutional</t>
  </si>
  <si>
    <t>CEO</t>
  </si>
  <si>
    <t>Weight (%)</t>
  </si>
  <si>
    <t>Measurement Method</t>
  </si>
  <si>
    <t>Financial Outcomes</t>
  </si>
  <si>
    <t>EBITDA, Cash, Capital Discipline</t>
  </si>
  <si>
    <t>Board-approved financials</t>
  </si>
  <si>
    <t>Quarterly</t>
  </si>
  <si>
    <t>Process Excellence</t>
  </si>
  <si>
    <t>Execution cadence, benefit realization</t>
  </si>
  <si>
    <t>PMO &amp; audit review</t>
  </si>
  <si>
    <t>Technology Leverage</t>
  </si>
  <si>
    <t>Automation, platform economics</t>
  </si>
  <si>
    <t>Tech dashboards</t>
  </si>
  <si>
    <t>Semi-Annual</t>
  </si>
  <si>
    <t>Succession, leadership depth</t>
  </si>
  <si>
    <t>Annual</t>
  </si>
  <si>
    <t>Governance &amp; Risk</t>
  </si>
  <si>
    <t>IPO readiness, risk posture</t>
  </si>
  <si>
    <t>Audit &amp; risk reports</t>
  </si>
  <si>
    <t>Weak cash position, lagging P&amp;L, capex volume-driven</t>
  </si>
  <si>
    <t>Intervention Mode</t>
  </si>
  <si>
    <t>12-monthly board checkpoints aligned to investability, profitability, scale, and institutional value.</t>
  </si>
  <si>
    <t xml:space="preserve">Convert DishHome from operator-centered company to an IPO-credible, multi-engine, institutionally governed digital services enterprise. Leveraging the following solution designs: </t>
  </si>
  <si>
    <t xml:space="preserve">People &amp; Capability </t>
  </si>
  <si>
    <t>Metrics Baseline</t>
  </si>
  <si>
    <t>Expected End State Metrics</t>
  </si>
  <si>
    <t>Governance Cycle</t>
  </si>
  <si>
    <t>Success Outcome</t>
  </si>
  <si>
    <t>Talent &amp; performance review</t>
  </si>
  <si>
    <t>Outcome Type</t>
  </si>
  <si>
    <t>Evaluation Metrics/ Criteria</t>
  </si>
  <si>
    <t>Reviews</t>
  </si>
  <si>
    <t xml:space="preserve">Micro managing daily operations, approving minor capex/ expenses, vendor management, pre-existing banking / legal encumberances not brought to notice at the inception of tenure. </t>
  </si>
  <si>
    <t>Quarrterly KPI reviews, 6 monthly performance appraisal gates, 12,24,36,48,60 month full review cycles</t>
  </si>
  <si>
    <t>TOC accounting + NFRS accounting, Internal Audit rigor, Cash EBITDA, ROIC-gated CapEx, deleveraging, valuation protection.</t>
  </si>
  <si>
    <t>Techniques &amp; Methods - People</t>
  </si>
  <si>
    <t>Techniques &amp; Methods - Revenue,  Capex/ Opex</t>
  </si>
  <si>
    <t>Techniques &amp; Methods - Technology</t>
  </si>
  <si>
    <t xml:space="preserve">Automation maturity, AI ops, Agile , DevSecOps Review, OTT monetization, data platforms, cyber resilience. ROI gated Tech interventions. Step change : transition from - Cost center - Value center - Profit center </t>
  </si>
  <si>
    <t>Fully mapped &amp; documented processes, SOPs &amp; Metrics defined, Functional Process Methodology defined &amp; deployed ( Lean, TOC, Agile)</t>
  </si>
  <si>
    <t>DishHome transitions from a growth constrained people-dependent operator to an independent, constraint optimized, tech driven, systems &amp; process led, well governed institution with strong people &amp; business pipeline</t>
  </si>
  <si>
    <t>Lean &amp; TOC capable team: Leadership trained in TOC &amp; capital productivity, Team Integration squads organized by constraint / project zones, Culture Cascade &amp; Catchball, M&amp;A readiness</t>
  </si>
  <si>
    <t>9 Block filter, Stack ranked performance, Leadership contracts &amp; Performance tied to enterprise KPIs, , succession depth, performance culture, M&amp;A integration capability.</t>
  </si>
  <si>
    <t>Hoshin deployment, TOC prioritized constraint mapping + Lean value streams &amp; delivery system aligned to constraints, PMO governance rigor, realization mechanism vetted by finance aimed at releasing capacity &amp; improve throughput</t>
  </si>
  <si>
    <t>Enterprise constraint mapping, Constraint-based profit bridge- capital sequencing, Capex tied to bottleneck relief, ROIC gated,  valuation protection aimed at converting financial management from reporting &amp; cost control to value engineering</t>
  </si>
  <si>
    <t>Scope</t>
  </si>
  <si>
    <r>
      <t>Accountability:</t>
    </r>
    <r>
      <rPr>
        <sz val="11"/>
        <color theme="1"/>
        <rFont val="Calibri"/>
        <family val="2"/>
        <scheme val="minor"/>
      </rPr>
      <t xml:space="preserve"> Throughput, cash, valuation posture, institutional capability</t>
    </r>
  </si>
  <si>
    <t>Risk &amp; Assurance</t>
  </si>
  <si>
    <t>FMEA aligned to enterprise constraints, IPO readiness dashboards, Cyber &amp; regulatory Maturity, CLB, IRD, NTA regulatory compliance</t>
  </si>
  <si>
    <t>Automation, RPA aimed specifically at organizational bottlenecks/ chokepoints, AI models focused on churn, provisioning, service recovery. OTT investments sequenced by monetization constraints, Prevent tech proliferation not tied to throughput or mix-shift, architect data platforms around revenue and churn constraints, to drive unit cost reduction, OTT monetization, faster scaling, platform economics</t>
  </si>
  <si>
    <t>Core Focus</t>
  </si>
  <si>
    <t>Capital council, segment P&amp;Ls, cash EBITDA cockpit, TOC/ throughput vetted decision mechnism,TOC+ROIC gates,</t>
  </si>
  <si>
    <t>Deep Leadership bench</t>
  </si>
  <si>
    <t>Best in business Institutional leadership depth</t>
  </si>
  <si>
    <r>
      <t>Mandated Authority:</t>
    </r>
    <r>
      <rPr>
        <sz val="11"/>
        <color theme="1"/>
        <rFont val="Calibri"/>
        <family val="2"/>
        <scheme val="minor"/>
      </rPr>
      <t xml:space="preserve"> Enterprise economics, capital architecture, operating system, leadership system rearchitecting to orchestrate constraint release across enterprise</t>
    </r>
  </si>
  <si>
    <r>
      <t>Operating logic:</t>
    </r>
    <r>
      <rPr>
        <sz val="11"/>
        <color theme="1"/>
        <rFont val="Calibri"/>
        <family val="2"/>
        <scheme val="minor"/>
      </rPr>
      <t xml:space="preserve"> TOC governs “what matters, determines where to focus – identifies enterprise constraints Lean governs “how it improves &amp; how effectively &amp; efficiently the work is executed. Technology amplifies both.</t>
    </r>
  </si>
  <si>
    <t>CEO Focus</t>
  </si>
  <si>
    <t>Primary Interventions</t>
  </si>
  <si>
    <t>Cash, governance, service stability, OTT Buildup</t>
  </si>
  <si>
    <t>Throughput accounting, capital control</t>
  </si>
  <si>
    <t>Re-engineer</t>
  </si>
  <si>
    <t>Platform scalability, data leverage</t>
  </si>
  <si>
    <t>Scale</t>
  </si>
  <si>
    <t>AI ops, integration muscle</t>
  </si>
  <si>
    <t>Market expansion, inorganic growth</t>
  </si>
  <si>
    <t>M&amp;A playbooks, capital envelopes</t>
  </si>
  <si>
    <t xml:space="preserve">Portfolio orchestration, succession planning </t>
  </si>
  <si>
    <t>Venture governance, innovation engine, new LOBs</t>
  </si>
  <si>
    <t>Enterprise Constraints</t>
  </si>
  <si>
    <t>0-6</t>
  </si>
  <si>
    <t>6-12m</t>
  </si>
  <si>
    <t>Ecosystem - People &amp; Capability</t>
  </si>
  <si>
    <t>Orchestration Rigor</t>
  </si>
  <si>
    <t>Intervention</t>
  </si>
  <si>
    <t>Cost architecture, OTT monetization, platform/ Infra stability</t>
  </si>
  <si>
    <t>Baseline Process &amp; Final State Design Architecture</t>
  </si>
  <si>
    <t>Define &amp; Stabilize</t>
  </si>
  <si>
    <t>Prime for Optionality</t>
  </si>
  <si>
    <t>Deliver &amp; Institutionalize</t>
  </si>
  <si>
    <t>Objective</t>
  </si>
  <si>
    <t>Define the enterprise-level mandate, outcome glide path, intervention architecture, and constraint-led operating model proposed for the next phase of DishHome leadership. Support Board governance, review, IPO readiness, and CEO performance measures.</t>
  </si>
  <si>
    <t>0-6M</t>
  </si>
  <si>
    <t>6-12M</t>
  </si>
  <si>
    <t>12-18M</t>
  </si>
  <si>
    <t>18-24M</t>
  </si>
  <si>
    <t>24-30M</t>
  </si>
  <si>
    <t>30-36M</t>
  </si>
  <si>
    <t>36-42M</t>
  </si>
  <si>
    <t>42-48M</t>
  </si>
  <si>
    <t>48-54M</t>
  </si>
  <si>
    <t>54-60M</t>
  </si>
  <si>
    <t>Cash EBITDA &amp; Controls</t>
  </si>
  <si>
    <t>■</t>
  </si>
  <si>
    <t>ROIC CapEx Governance -Command Center</t>
  </si>
  <si>
    <t>RPA Factory</t>
  </si>
  <si>
    <t>OTT Monetization</t>
  </si>
  <si>
    <t>Leadership Development</t>
  </si>
  <si>
    <t>Capital Recycling</t>
  </si>
  <si>
    <t>AI Ops Platform - Design, Deployment &amp; evolution)</t>
  </si>
  <si>
    <t>M&amp;A Integration Engine</t>
  </si>
  <si>
    <t>Succession Pipeline</t>
  </si>
  <si>
    <t>Constraint Mapping, Lean streams, product redesign based on Kano</t>
  </si>
  <si>
    <t xml:space="preserve">Pull vs Push Designs , project deployments, NVA elimination, Value Added Product &amp; Process, </t>
  </si>
  <si>
    <t>Enterprise architecture, capital allocation, revenue growth, operating system, tech systems, leadership systems.</t>
  </si>
  <si>
    <t>Enterprise value creation, capital stewardship, redesign growth cycle (revenue &amp; scale), governance maturity, leadership depth.</t>
  </si>
  <si>
    <t>Product</t>
  </si>
  <si>
    <t>TOC constraint map, Lean A3 governance, Hoshin Driven Interventions, benefit realization office</t>
  </si>
  <si>
    <t>FOCUS AREA</t>
  </si>
  <si>
    <t>1. Capital recycling, 
2. M&amp;A envelopes</t>
  </si>
  <si>
    <t>1. EBITDA stabilized, 2. Throughput Driven Projects delivery, 
3. ROIC gating active
4. M &amp; A / consolidation activities</t>
  </si>
  <si>
    <t>1. Real Time Cash visibility, audit-ready controls, 
2.Throughput Accounting vs Financial Accounting View 
3. ROI &amp; Constrain gated Capex plan vs actual deployment
4. M&amp;A planning</t>
  </si>
  <si>
    <t xml:space="preserve">1. Platform economics visible, 
2. Scale architecture take effect
3. M&amp;A activities effects Kick in </t>
  </si>
  <si>
    <t>1. New Constraints Escalated &amp; resolved
2.  Lean value streams Delivered 
3. Organization velocity/  cadence established 
4. Tech Ops Sync achieved</t>
  </si>
  <si>
    <t>1. TNA, TET (Training Effectiveness Tracking, 
2. Stack Ranking &amp; 9 Blocker review mechanism , 
3. L&amp; D pipeline process
4. Growth, Before/ After Tracking
5. Intake/Promote/ exit lifecycle pipeline</t>
  </si>
  <si>
    <t xml:space="preserve">People </t>
  </si>
  <si>
    <t>Capital Stewardship &amp; Profitability</t>
  </si>
  <si>
    <t>Techniques &amp; Methods - Process</t>
  </si>
  <si>
    <t>Techniques &amp; Methods - Risk</t>
  </si>
  <si>
    <t xml:space="preserve">1. CSAT sample Survey, 
2.  KANO, Customer Journey Map
3. QFD for - Product protfolio Matrix / Development 
4. Product portfolio redesign,
5. VAS intergation &amp; release </t>
  </si>
  <si>
    <t>1. Product training, 
2. Elevator pitch, mafia offer, beyond 5 blocks
3. Distributor / Channel product sync</t>
  </si>
  <si>
    <t>1. CRM Design for scale, 
2. MIS - CJM/ SLA tracker
3. Portfolio performance tracker</t>
  </si>
  <si>
    <t>1.24 month  Automation Pipeline- RPA,
2. Datalaya Leverage- Data platform, 
3. 24 Month AI pipeline -AI NOC Khushi, OTT, 
4. Dev SecOps</t>
  </si>
  <si>
    <t>1. Automated KPI tracker, 
2. appraisal &amp; performance Scorecard
3. Digital Learning Platform</t>
  </si>
  <si>
    <t>1. Prototype product control release
2. Alpha &amp; Beta testing, 
3. Pre/Post FMEA, NTA guidelines 
4. Competition Mapping Scores
5. Product Dev Sec Ops</t>
  </si>
  <si>
    <t>1. Cyber/ tech audit- Pen tests
2. BCP / DR -RTO/ RPO
3. P1/P2/P3 Protocol &amp; Escalation Matrix</t>
  </si>
  <si>
    <t>1. Tech Skill Mapping to outcomes/ Constrains targeted, 
2. growth linked to outcomes
3. AI- University collaboration/ certification track 
4. Annual Hackathons</t>
  </si>
  <si>
    <t xml:space="preserve">1. ESAT/ leadership 360, 
2.  Value Cascade
3. L&amp;D -Skill / capability map 
4. R&amp;R Townhalls, Best Place to work ranking
5. 9 Blocker growth/ exit plan, </t>
  </si>
  <si>
    <t xml:space="preserve">1. Key Resource Ringfencing </t>
  </si>
  <si>
    <t xml:space="preserve">1.Comp &amp; Ben Structural Review -  Performance KPI linked to P&amp;L architecture
2. Finance Sensitization for Supervisors- Learning Wave on lean / TOC - finance &amp; non finance modules, 
3 ROI on training, L&amp;D/ QPE Academy, (Pre-post evaluation), 
 </t>
  </si>
  <si>
    <t>De-risked proactive risk management system</t>
  </si>
  <si>
    <t>Zero defect risk mitigation mechanism</t>
  </si>
  <si>
    <t>1. Tech / Network/ Infra/ Fixed Asset Inventory Audit - Gray/ Dead Stock / inventory quantification - ROA benchmarking
2. Tech / Infra Capability / Utilization audit 
3. Tech HR utilization review
4. Automation / upgrade Pipeline Design &amp; Quickhit execution rigor
5. AI/ RPA pilots, core dashboards</t>
  </si>
  <si>
    <t>Ecosystem/ Process</t>
  </si>
  <si>
    <t>Vendors, Suppliers &amp; Distributors</t>
  </si>
  <si>
    <t xml:space="preserve">1. VSAT, DSAT
2. R&amp;R 
3. 9 Blocker for Vendor/ Distributor
4. Vendor/ Distributor training </t>
  </si>
  <si>
    <t>1. Vendors, Suppliers &amp; Distributors risk profiling
2. Default Impact Assessment</t>
  </si>
  <si>
    <t>1. ISO 27001 &amp; other certifications
2. BCM War room &amp; BIA
3. Pre-mortem &amp; solution design</t>
  </si>
  <si>
    <t>Stabilize &amp; Improve: 
1. Processes Mapped, Constrains identified &amp; resolved
2. KPI baselines, OKR across all functions
3. Kaizen Burst, Quick hits, 
4. Org PMO, 
5. Hoshin live</t>
  </si>
  <si>
    <t>1. Leadership contracts defined by PMO outcomes
2. Automated Performance Tracking &amp; Appraisal Mechaism
3. Values &amp; Culture Cascade
4.9 blocker led R&amp;R cycle</t>
  </si>
  <si>
    <t xml:space="preserve">1. Customer Centricity, SLA accountability,
2. Lifecycle management - Intake, Onboarding, Deployment, 9Blockers, PIP,
3. Reward/ Growth/ Exit pipeline
4. HR Audit &amp; Comp &amp; Ben review
</t>
  </si>
  <si>
    <t>Formalized Risk Mapping &amp; detection process nascent- finance centered</t>
  </si>
  <si>
    <t>1. AI-enabled ops,
2. Tech / Infra ROI / ROA lens active 
3. OTT investment monetized</t>
  </si>
  <si>
    <t xml:space="preserve">1. HR productivity &amp; quality improved
2. Skill/ will/ delivery aligned with org outcomes
3. Best place to work track </t>
  </si>
  <si>
    <t>1. Operations, PMO &amp; Org/ functional level DWOR Governance cycle established
2. Internal audit scope revision (Finance, IC, Systems, Network, Infra)
2. FMEA / Risk Heat map &amp; mitigation by function
3. Audit score linked to performances</t>
  </si>
  <si>
    <t>Process Re-baselining &amp; improvement</t>
  </si>
  <si>
    <t>Platform &amp; Infrastructure leverage</t>
  </si>
  <si>
    <t>Institutional capability/ depth assessment &amp; upgrade</t>
  </si>
  <si>
    <t>Governance Cycle &amp; Cadence institutionalization</t>
  </si>
  <si>
    <t xml:space="preserve">Throughput &amp; capital gates + NFRS rigor </t>
  </si>
  <si>
    <t>1. Define  Unit costs (COA/COS/COR)/ Revenue/  Value/ profitability, 
2. Cost/unit vs TVC, 
3. Throughput vs Sale, 
4. Identify &amp; account for Revenue levers
5. Track AARPU Drivers vs Investment</t>
  </si>
  <si>
    <t>Methods</t>
  </si>
  <si>
    <t>Tech Interventions</t>
  </si>
  <si>
    <t>PMS structure</t>
  </si>
  <si>
    <t>ECOSYSTEM CROSS LINKAGES</t>
  </si>
  <si>
    <t>Outcome Glide Path (In Months)</t>
  </si>
  <si>
    <t xml:space="preserve">1. Internal Audit, Lean, Hoshin, FMEA for finance 
2. Cost of deployment vs expected lift, 
3. Finance vetting for PMO value add vs ROI, 
4. Throughput gated opex, 
</t>
  </si>
  <si>
    <t>1. TOC- Constraint Maps
2. Lean value streams- Cycle Time, Quality, Throughput, 
3. Project Deployment Method - Lean:  Kaizen, Kakushin/ Kaikaku deployement map,  A3s, TOC DBF, Tech- Agile
4. Strategy Cascade- PMO/ Hoshin catchballs
5. Real time MIS/ DSS</t>
  </si>
  <si>
    <t>1. Annual Calendar of Agile, 2 Week sprints, 
2. Monthly Lean Phase gates, 
3.TOC focused projects, 
4.DevSecOps -CI/CD tech/software development model
5. Sev-1/2/3 Response Architecture
6.Utilization Audits</t>
  </si>
  <si>
    <t xml:space="preserve">1. Realtime mobile app MIS/DSS platform   
2. TCO, ROI, TVA vetted Capex,
3.Tech/ Infra expansion prioritization scorecard for hitting identified constraints, 
4. other capex decisions parked </t>
  </si>
  <si>
    <t xml:space="preserve">1. Automated MIS,DSS,
2. Automated Hoshin,  PMO, HR, Agile Boards
3. Automated Lead/ lag metrics &amp; RAG Reports with EWS flags
 </t>
  </si>
  <si>
    <t xml:space="preserve">1. Order to Activation Cycle
2. Vendor Productivity &amp; Inventory Idle Rate
3. Key Process/ area Remigration 
</t>
  </si>
  <si>
    <t>1. Automated ONM &amp; Service Cycle app
2. 1-stop Distributor Portal
3. Vendor/ Distributor scorecard</t>
  </si>
  <si>
    <t>1. Distributor  Profitability Review - Demand, Throughput, Discount , Incentive vs Profit genrated 
2. Vendor -  Inhouse vs Outsourced Financial Evaluation</t>
  </si>
  <si>
    <t>Initiative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</si>
</sst>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4B084"/>
        <bgColor rgb="FFF4B084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  <fill>
      <patternFill patternType="solid">
        <fgColor rgb="FFDDDDDD"/>
        <bgColor rgb="FFDDDDDD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1" fillId="8" borderId="1" xfId="0" applyFont="1" applyFill="1" applyBorder="1"/>
    <xf numFmtId="0" fontId="1" fillId="7" borderId="1" xfId="0" applyFont="1" applyFill="1" applyBorder="1" applyAlignment="1"/>
    <xf numFmtId="0" fontId="1" fillId="8" borderId="1" xfId="0" applyFont="1" applyFill="1" applyBorder="1" applyAlignment="1">
      <alignment wrapText="1"/>
    </xf>
    <xf numFmtId="0" fontId="1" fillId="0" borderId="1" xfId="0" applyFont="1" applyFill="1" applyBorder="1"/>
    <xf numFmtId="0" fontId="0" fillId="0" borderId="1" xfId="0" applyFill="1" applyBorder="1" applyAlignment="1">
      <alignment wrapText="1"/>
    </xf>
    <xf numFmtId="0" fontId="3" fillId="10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0" xfId="0" applyAlignment="1">
      <alignment horizontal="left" vertical="center" indent="1"/>
    </xf>
    <xf numFmtId="0" fontId="1" fillId="7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8" borderId="1" xfId="0" applyFont="1" applyFill="1" applyBorder="1" applyAlignment="1">
      <alignment horizontal="center" wrapText="1"/>
    </xf>
    <xf numFmtId="0" fontId="1" fillId="8" borderId="2" xfId="0" applyFont="1" applyFill="1" applyBorder="1" applyAlignment="1">
      <alignment wrapText="1"/>
    </xf>
    <xf numFmtId="0" fontId="5" fillId="11" borderId="1" xfId="0" applyFont="1" applyFill="1" applyBorder="1" applyAlignment="1">
      <alignment wrapText="1"/>
    </xf>
    <xf numFmtId="0" fontId="1" fillId="8" borderId="2" xfId="0" applyFont="1" applyFill="1" applyBorder="1" applyAlignment="1">
      <alignment horizontal="center" wrapText="1"/>
    </xf>
    <xf numFmtId="0" fontId="1" fillId="8" borderId="3" xfId="0" applyFont="1" applyFill="1" applyBorder="1" applyAlignment="1">
      <alignment horizontal="center" wrapText="1"/>
    </xf>
    <xf numFmtId="0" fontId="1" fillId="8" borderId="4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0" fillId="13" borderId="1" xfId="0" applyFill="1" applyBorder="1"/>
    <xf numFmtId="0" fontId="4" fillId="0" borderId="1" xfId="0" applyFont="1" applyFill="1" applyBorder="1" applyAlignment="1">
      <alignment wrapText="1"/>
    </xf>
    <xf numFmtId="0" fontId="4" fillId="0" borderId="2" xfId="0" applyFont="1" applyFill="1" applyBorder="1" applyAlignment="1">
      <alignment horizontal="left" wrapText="1"/>
    </xf>
    <xf numFmtId="0" fontId="4" fillId="0" borderId="4" xfId="0" applyFont="1" applyFill="1" applyBorder="1" applyAlignment="1">
      <alignment horizontal="left" wrapText="1"/>
    </xf>
    <xf numFmtId="0" fontId="5" fillId="11" borderId="5" xfId="0" applyFont="1" applyFill="1" applyBorder="1" applyAlignment="1">
      <alignment horizontal="left" wrapText="1"/>
    </xf>
    <xf numFmtId="0" fontId="5" fillId="11" borderId="6" xfId="0" applyFont="1" applyFill="1" applyBorder="1" applyAlignment="1">
      <alignment horizontal="left" wrapText="1"/>
    </xf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9" xfId="0" applyBorder="1" applyAlignment="1">
      <alignment wrapText="1"/>
    </xf>
    <xf numFmtId="0" fontId="1" fillId="7" borderId="10" xfId="0" applyFont="1" applyFill="1" applyBorder="1" applyAlignment="1">
      <alignment horizontal="center" wrapText="1"/>
    </xf>
    <xf numFmtId="0" fontId="1" fillId="8" borderId="4" xfId="0" applyFont="1" applyFill="1" applyBorder="1" applyAlignment="1">
      <alignment horizontal="center" wrapText="1"/>
    </xf>
    <xf numFmtId="0" fontId="1" fillId="8" borderId="11" xfId="0" applyFont="1" applyFill="1" applyBorder="1" applyAlignment="1">
      <alignment horizontal="center" wrapText="1"/>
    </xf>
    <xf numFmtId="0" fontId="1" fillId="14" borderId="1" xfId="0" applyFont="1" applyFill="1" applyBorder="1" applyAlignment="1">
      <alignment wrapText="1"/>
    </xf>
    <xf numFmtId="0" fontId="1" fillId="8" borderId="2" xfId="0" applyFont="1" applyFill="1" applyBorder="1" applyAlignment="1">
      <alignment horizontal="center" wrapText="1"/>
    </xf>
    <xf numFmtId="0" fontId="0" fillId="15" borderId="1" xfId="0" applyFill="1" applyBorder="1" applyAlignment="1">
      <alignment wrapText="1"/>
    </xf>
    <xf numFmtId="0" fontId="0" fillId="15" borderId="2" xfId="0" applyFill="1" applyBorder="1" applyAlignment="1">
      <alignment wrapText="1"/>
    </xf>
    <xf numFmtId="0" fontId="1" fillId="7" borderId="0" xfId="0" applyFont="1" applyFill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15" borderId="1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2" fillId="16" borderId="1" xfId="0" applyFont="1" applyFill="1" applyBorder="1" applyAlignment="1">
      <alignment wrapText="1"/>
    </xf>
    <xf numFmtId="0" fontId="1" fillId="13" borderId="7" xfId="0" applyFont="1" applyFill="1" applyBorder="1" applyAlignment="1">
      <alignment horizontal="center" wrapText="1"/>
    </xf>
    <xf numFmtId="0" fontId="1" fillId="7" borderId="8" xfId="0" applyFont="1" applyFill="1" applyBorder="1" applyAlignment="1">
      <alignment horizontal="center" wrapText="1"/>
    </xf>
    <xf numFmtId="0" fontId="1" fillId="7" borderId="12" xfId="0" applyFont="1" applyFill="1" applyBorder="1" applyAlignment="1">
      <alignment horizontal="center" wrapText="1"/>
    </xf>
    <xf numFmtId="0" fontId="0" fillId="10" borderId="1" xfId="0" applyFill="1" applyBorder="1"/>
    <xf numFmtId="0" fontId="0" fillId="17" borderId="1" xfId="0" applyFill="1" applyBorder="1"/>
    <xf numFmtId="0" fontId="0" fillId="1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showGridLines="0" zoomScaleNormal="100" workbookViewId="0">
      <selection activeCell="B3" sqref="B3:D3"/>
    </sheetView>
  </sheetViews>
  <sheetFormatPr defaultRowHeight="14.25" x14ac:dyDescent="0.45"/>
  <cols>
    <col min="1" max="1" width="28.1328125" bestFit="1" customWidth="1"/>
    <col min="2" max="2" width="53" style="1" customWidth="1"/>
    <col min="4" max="4" width="21.46484375" bestFit="1" customWidth="1"/>
    <col min="5" max="5" width="3" customWidth="1"/>
    <col min="6" max="6" width="17.265625" bestFit="1" customWidth="1"/>
    <col min="7" max="7" width="26.19921875" style="1" customWidth="1"/>
    <col min="9" max="9" width="22.1328125" bestFit="1" customWidth="1"/>
    <col min="10" max="10" width="10.86328125" bestFit="1" customWidth="1"/>
  </cols>
  <sheetData>
    <row r="1" spans="1:10" ht="64.150000000000006" customHeight="1" x14ac:dyDescent="0.45">
      <c r="A1" s="9" t="s">
        <v>176</v>
      </c>
      <c r="B1" s="26" t="s">
        <v>177</v>
      </c>
      <c r="C1" s="27"/>
      <c r="D1" s="28"/>
      <c r="F1" s="9" t="s">
        <v>126</v>
      </c>
      <c r="G1" s="9" t="s">
        <v>127</v>
      </c>
      <c r="H1" s="9" t="s">
        <v>98</v>
      </c>
      <c r="I1" s="9" t="s">
        <v>99</v>
      </c>
      <c r="J1" s="10" t="s">
        <v>128</v>
      </c>
    </row>
    <row r="2" spans="1:10" ht="42.75" customHeight="1" x14ac:dyDescent="0.45">
      <c r="A2" s="9" t="s">
        <v>0</v>
      </c>
      <c r="B2" s="4" t="s">
        <v>119</v>
      </c>
      <c r="C2" s="4"/>
      <c r="D2" s="4"/>
      <c r="F2" s="5" t="s">
        <v>100</v>
      </c>
      <c r="G2" s="8" t="s">
        <v>101</v>
      </c>
      <c r="H2" s="7">
        <v>30</v>
      </c>
      <c r="I2" s="6" t="s">
        <v>102</v>
      </c>
      <c r="J2" s="5" t="s">
        <v>103</v>
      </c>
    </row>
    <row r="3" spans="1:10" ht="28.5" x14ac:dyDescent="0.45">
      <c r="A3" s="9" t="s">
        <v>1</v>
      </c>
      <c r="B3" s="4" t="s">
        <v>201</v>
      </c>
      <c r="C3" s="4"/>
      <c r="D3" s="4"/>
      <c r="F3" s="5" t="s">
        <v>23</v>
      </c>
      <c r="G3" s="8" t="s">
        <v>111</v>
      </c>
      <c r="H3" s="7">
        <v>20</v>
      </c>
      <c r="I3" s="8" t="s">
        <v>125</v>
      </c>
      <c r="J3" s="5" t="s">
        <v>110</v>
      </c>
    </row>
    <row r="4" spans="1:10" ht="28.5" x14ac:dyDescent="0.45">
      <c r="A4" s="9" t="s">
        <v>142</v>
      </c>
      <c r="B4" s="4" t="s">
        <v>200</v>
      </c>
      <c r="C4" s="4"/>
      <c r="D4" s="4"/>
      <c r="F4" s="5" t="s">
        <v>107</v>
      </c>
      <c r="G4" s="8" t="s">
        <v>108</v>
      </c>
      <c r="H4" s="7">
        <v>20</v>
      </c>
      <c r="I4" s="6" t="s">
        <v>109</v>
      </c>
      <c r="J4" s="5" t="s">
        <v>110</v>
      </c>
    </row>
    <row r="5" spans="1:10" ht="28.5" customHeight="1" x14ac:dyDescent="0.45">
      <c r="A5" s="14" t="s">
        <v>2</v>
      </c>
      <c r="B5" s="4" t="s">
        <v>129</v>
      </c>
      <c r="C5" s="4"/>
      <c r="D5" s="4"/>
      <c r="F5" s="5" t="s">
        <v>104</v>
      </c>
      <c r="G5" s="8" t="s">
        <v>105</v>
      </c>
      <c r="H5" s="7">
        <v>20</v>
      </c>
      <c r="I5" s="6" t="s">
        <v>106</v>
      </c>
      <c r="J5" s="5" t="s">
        <v>103</v>
      </c>
    </row>
    <row r="6" spans="1:10" ht="28.5" customHeight="1" x14ac:dyDescent="0.45">
      <c r="A6" s="9" t="s">
        <v>124</v>
      </c>
      <c r="B6" s="22" t="s">
        <v>137</v>
      </c>
      <c r="C6" s="22"/>
      <c r="D6" s="22"/>
      <c r="F6" s="5" t="s">
        <v>113</v>
      </c>
      <c r="G6" s="8" t="s">
        <v>114</v>
      </c>
      <c r="H6" s="7">
        <v>10</v>
      </c>
      <c r="I6" s="6" t="s">
        <v>115</v>
      </c>
      <c r="J6" s="5" t="s">
        <v>112</v>
      </c>
    </row>
    <row r="7" spans="1:10" ht="9" customHeight="1" x14ac:dyDescent="0.45"/>
    <row r="8" spans="1:10" ht="44.25" customHeight="1" x14ac:dyDescent="0.45">
      <c r="A8" s="11" t="s">
        <v>212</v>
      </c>
      <c r="B8" s="4" t="s">
        <v>141</v>
      </c>
      <c r="C8" s="4"/>
      <c r="D8" s="4"/>
      <c r="F8" s="3" t="s">
        <v>151</v>
      </c>
      <c r="G8" s="3"/>
      <c r="H8" s="3"/>
      <c r="I8" s="3"/>
      <c r="J8" s="3"/>
    </row>
    <row r="9" spans="1:10" ht="28.5" customHeight="1" x14ac:dyDescent="0.45">
      <c r="A9" s="42" t="s">
        <v>133</v>
      </c>
      <c r="B9" s="4" t="s">
        <v>131</v>
      </c>
      <c r="C9" s="4"/>
      <c r="D9" s="4"/>
      <c r="F9" s="2" t="s">
        <v>143</v>
      </c>
    </row>
    <row r="10" spans="1:10" ht="6.4" customHeight="1" x14ac:dyDescent="0.45">
      <c r="A10" s="12"/>
      <c r="B10" s="13"/>
      <c r="C10" s="13"/>
      <c r="D10" s="13"/>
    </row>
    <row r="11" spans="1:10" ht="41.65" customHeight="1" x14ac:dyDescent="0.45">
      <c r="A11" s="11" t="s">
        <v>120</v>
      </c>
      <c r="B11" s="4" t="s">
        <v>138</v>
      </c>
      <c r="C11" s="4"/>
      <c r="D11" s="4"/>
      <c r="F11" s="3" t="s">
        <v>152</v>
      </c>
      <c r="G11" s="3"/>
      <c r="H11" s="3"/>
      <c r="I11" s="3"/>
      <c r="J11" s="3"/>
    </row>
    <row r="12" spans="1:10" ht="28.5" customHeight="1" x14ac:dyDescent="0.45">
      <c r="A12" s="42" t="s">
        <v>132</v>
      </c>
      <c r="B12" s="4" t="s">
        <v>139</v>
      </c>
      <c r="C12" s="4"/>
      <c r="D12" s="4"/>
      <c r="F12" s="20"/>
    </row>
    <row r="13" spans="1:10" ht="8.25" customHeight="1" x14ac:dyDescent="0.45">
      <c r="A13" s="12"/>
      <c r="B13" s="13"/>
      <c r="C13" s="13"/>
      <c r="D13" s="13"/>
      <c r="F13" s="20"/>
    </row>
    <row r="14" spans="1:10" ht="28.5" customHeight="1" x14ac:dyDescent="0.45">
      <c r="A14" s="9" t="s">
        <v>4</v>
      </c>
      <c r="B14" s="4" t="s">
        <v>136</v>
      </c>
      <c r="C14" s="4"/>
      <c r="D14" s="4"/>
      <c r="G14"/>
    </row>
    <row r="15" spans="1:10" ht="28.5" customHeight="1" x14ac:dyDescent="0.45">
      <c r="A15" s="42" t="s">
        <v>213</v>
      </c>
      <c r="B15" s="4" t="s">
        <v>140</v>
      </c>
      <c r="C15" s="4"/>
      <c r="D15" s="4"/>
      <c r="G15"/>
    </row>
    <row r="16" spans="1:10" ht="9.85" customHeight="1" x14ac:dyDescent="0.45">
      <c r="A16" s="12"/>
      <c r="B16" s="13"/>
      <c r="C16" s="13"/>
      <c r="D16" s="13"/>
      <c r="G16"/>
    </row>
    <row r="17" spans="1:7" ht="60.75" customHeight="1" x14ac:dyDescent="0.45">
      <c r="A17" s="9" t="s">
        <v>107</v>
      </c>
      <c r="B17" s="4" t="s">
        <v>146</v>
      </c>
      <c r="C17" s="4"/>
      <c r="D17" s="4"/>
      <c r="G17"/>
    </row>
    <row r="18" spans="1:7" ht="28.5" customHeight="1" x14ac:dyDescent="0.45">
      <c r="A18" s="42" t="s">
        <v>134</v>
      </c>
      <c r="B18" s="4" t="s">
        <v>135</v>
      </c>
      <c r="C18" s="4"/>
      <c r="D18" s="4"/>
      <c r="G18"/>
    </row>
    <row r="19" spans="1:7" ht="6.75" customHeight="1" x14ac:dyDescent="0.45">
      <c r="A19" s="12"/>
      <c r="B19" s="13"/>
      <c r="C19" s="13"/>
      <c r="D19" s="13"/>
    </row>
    <row r="20" spans="1:7" ht="42.75" customHeight="1" x14ac:dyDescent="0.45">
      <c r="A20" s="9" t="s">
        <v>123</v>
      </c>
      <c r="B20" s="4" t="s">
        <v>130</v>
      </c>
      <c r="C20" s="4"/>
      <c r="D20" s="4"/>
      <c r="F20" s="2"/>
    </row>
    <row r="21" spans="1:7" ht="54.75" customHeight="1" x14ac:dyDescent="0.45">
      <c r="A21" s="42" t="s">
        <v>3</v>
      </c>
      <c r="B21" s="4" t="s">
        <v>118</v>
      </c>
      <c r="C21" s="4"/>
      <c r="D21" s="4"/>
    </row>
    <row r="22" spans="1:7" ht="7.9" customHeight="1" x14ac:dyDescent="0.45"/>
    <row r="23" spans="1:7" ht="28.5" customHeight="1" x14ac:dyDescent="0.45">
      <c r="A23" s="9" t="s">
        <v>144</v>
      </c>
      <c r="B23" s="4" t="s">
        <v>145</v>
      </c>
      <c r="C23" s="4"/>
      <c r="D23" s="4"/>
    </row>
    <row r="24" spans="1:7" x14ac:dyDescent="0.45">
      <c r="A24" s="42" t="s">
        <v>214</v>
      </c>
    </row>
  </sheetData>
  <mergeCells count="23">
    <mergeCell ref="F11:J11"/>
    <mergeCell ref="F8:J8"/>
    <mergeCell ref="B19:D19"/>
    <mergeCell ref="B23:D23"/>
    <mergeCell ref="B13:D13"/>
    <mergeCell ref="B15:D15"/>
    <mergeCell ref="B16:D16"/>
    <mergeCell ref="B12:D12"/>
    <mergeCell ref="B6:D6"/>
    <mergeCell ref="B1:D1"/>
    <mergeCell ref="B10:D10"/>
    <mergeCell ref="B4:D4"/>
    <mergeCell ref="B5:D5"/>
    <mergeCell ref="B21:D21"/>
    <mergeCell ref="B9:D9"/>
    <mergeCell ref="B14:D14"/>
    <mergeCell ref="B18:D18"/>
    <mergeCell ref="B2:D2"/>
    <mergeCell ref="B8:D8"/>
    <mergeCell ref="B17:D17"/>
    <mergeCell ref="B11:D11"/>
    <mergeCell ref="B3:D3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showGridLines="0" tabSelected="1" workbookViewId="0">
      <pane xSplit="1" ySplit="2" topLeftCell="H4" activePane="bottomRight" state="frozen"/>
      <selection pane="topRight" activeCell="B1" sqref="B1"/>
      <selection pane="bottomLeft" activeCell="A2" sqref="A2"/>
      <selection pane="bottomRight" activeCell="A3" sqref="A3"/>
    </sheetView>
  </sheetViews>
  <sheetFormatPr defaultRowHeight="14.25" x14ac:dyDescent="0.45"/>
  <cols>
    <col min="1" max="1" width="16.19921875" style="1" bestFit="1" customWidth="1"/>
    <col min="2" max="2" width="16.73046875" style="1" customWidth="1"/>
    <col min="3" max="3" width="12.86328125" style="1" customWidth="1"/>
    <col min="4" max="4" width="13.06640625" customWidth="1"/>
    <col min="5" max="5" width="18.3984375" style="1" customWidth="1"/>
    <col min="6" max="6" width="23.06640625" style="1" customWidth="1"/>
    <col min="7" max="7" width="25.3984375" style="1" customWidth="1"/>
    <col min="8" max="8" width="29.9296875" style="1" customWidth="1"/>
    <col min="9" max="10" width="24.265625" style="1" customWidth="1"/>
    <col min="11" max="11" width="25.73046875" style="1" customWidth="1"/>
    <col min="12" max="12" width="32.33203125" style="1" customWidth="1"/>
    <col min="13" max="13" width="24.1328125" style="1" customWidth="1"/>
    <col min="14" max="16" width="17.86328125" style="1" customWidth="1"/>
    <col min="17" max="17" width="18.6640625" customWidth="1"/>
  </cols>
  <sheetData>
    <row r="1" spans="1:17" ht="28.9" customHeight="1" thickBot="1" x14ac:dyDescent="0.5">
      <c r="G1" s="39" t="s">
        <v>250</v>
      </c>
      <c r="H1" s="39"/>
      <c r="I1" s="39"/>
      <c r="J1" s="39"/>
      <c r="K1" s="46"/>
      <c r="L1" s="41" t="s">
        <v>251</v>
      </c>
      <c r="M1" s="41"/>
      <c r="N1" s="41"/>
      <c r="O1" s="41"/>
      <c r="P1" s="41"/>
      <c r="Q1" s="41"/>
    </row>
    <row r="2" spans="1:17" s="2" customFormat="1" ht="28.5" x14ac:dyDescent="0.45">
      <c r="A2" s="11" t="s">
        <v>204</v>
      </c>
      <c r="B2" s="11" t="s">
        <v>5</v>
      </c>
      <c r="C2" s="11" t="s">
        <v>121</v>
      </c>
      <c r="D2" s="11" t="s">
        <v>122</v>
      </c>
      <c r="E2" s="11" t="s">
        <v>147</v>
      </c>
      <c r="F2" s="24" t="s">
        <v>117</v>
      </c>
      <c r="G2" s="54" t="s">
        <v>202</v>
      </c>
      <c r="H2" s="55" t="s">
        <v>247</v>
      </c>
      <c r="I2" s="55" t="s">
        <v>248</v>
      </c>
      <c r="J2" s="56" t="s">
        <v>249</v>
      </c>
      <c r="K2" s="21" t="s">
        <v>230</v>
      </c>
      <c r="L2" s="40">
        <v>12</v>
      </c>
      <c r="M2" s="40">
        <v>24</v>
      </c>
      <c r="N2" s="40">
        <v>36</v>
      </c>
      <c r="O2" s="40">
        <v>48</v>
      </c>
      <c r="P2" s="40">
        <v>60</v>
      </c>
      <c r="Q2" s="11" t="s">
        <v>6</v>
      </c>
    </row>
    <row r="3" spans="1:17" ht="156.75" x14ac:dyDescent="0.45">
      <c r="A3" s="11" t="s">
        <v>7</v>
      </c>
      <c r="B3" s="47" t="s">
        <v>116</v>
      </c>
      <c r="C3" s="47"/>
      <c r="D3" s="47"/>
      <c r="E3" s="47" t="s">
        <v>245</v>
      </c>
      <c r="F3" s="48" t="s">
        <v>148</v>
      </c>
      <c r="G3" s="49" t="s">
        <v>246</v>
      </c>
      <c r="H3" s="47" t="s">
        <v>252</v>
      </c>
      <c r="I3" s="47" t="s">
        <v>255</v>
      </c>
      <c r="J3" s="48" t="s">
        <v>225</v>
      </c>
      <c r="K3" s="47" t="s">
        <v>259</v>
      </c>
      <c r="L3" s="50" t="s">
        <v>207</v>
      </c>
      <c r="M3" s="47" t="s">
        <v>206</v>
      </c>
      <c r="N3" s="47" t="s">
        <v>208</v>
      </c>
      <c r="O3" s="47" t="s">
        <v>205</v>
      </c>
      <c r="P3" s="47" t="s">
        <v>8</v>
      </c>
      <c r="Q3" s="47" t="s">
        <v>9</v>
      </c>
    </row>
    <row r="4" spans="1:17" ht="142.5" x14ac:dyDescent="0.45">
      <c r="A4" s="52" t="s">
        <v>229</v>
      </c>
      <c r="B4" s="8" t="s">
        <v>11</v>
      </c>
      <c r="C4" s="8"/>
      <c r="D4" s="8"/>
      <c r="E4" s="8" t="s">
        <v>241</v>
      </c>
      <c r="F4" s="36" t="s">
        <v>203</v>
      </c>
      <c r="G4" s="38" t="s">
        <v>215</v>
      </c>
      <c r="H4" s="44" t="s">
        <v>253</v>
      </c>
      <c r="I4" s="8" t="s">
        <v>256</v>
      </c>
      <c r="J4" s="36" t="s">
        <v>210</v>
      </c>
      <c r="K4" s="8" t="s">
        <v>257</v>
      </c>
      <c r="L4" s="37" t="s">
        <v>234</v>
      </c>
      <c r="M4" s="8" t="s">
        <v>209</v>
      </c>
      <c r="N4" s="8" t="s">
        <v>12</v>
      </c>
      <c r="O4" s="8" t="s">
        <v>13</v>
      </c>
      <c r="P4" s="8" t="s">
        <v>14</v>
      </c>
      <c r="Q4" s="8" t="s">
        <v>15</v>
      </c>
    </row>
    <row r="5" spans="1:17" ht="142.5" x14ac:dyDescent="0.45">
      <c r="A5" s="53" t="s">
        <v>16</v>
      </c>
      <c r="B5" s="8" t="s">
        <v>17</v>
      </c>
      <c r="C5" s="8"/>
      <c r="D5" s="8"/>
      <c r="E5" s="8" t="s">
        <v>242</v>
      </c>
      <c r="F5" s="36" t="s">
        <v>22</v>
      </c>
      <c r="G5" s="38" t="s">
        <v>217</v>
      </c>
      <c r="H5" s="8" t="s">
        <v>254</v>
      </c>
      <c r="I5" s="44" t="s">
        <v>218</v>
      </c>
      <c r="J5" s="36" t="s">
        <v>222</v>
      </c>
      <c r="K5" s="8" t="s">
        <v>258</v>
      </c>
      <c r="L5" s="37" t="s">
        <v>228</v>
      </c>
      <c r="M5" s="8" t="s">
        <v>238</v>
      </c>
      <c r="N5" s="8" t="s">
        <v>18</v>
      </c>
      <c r="O5" s="8" t="s">
        <v>19</v>
      </c>
      <c r="P5" s="8" t="s">
        <v>20</v>
      </c>
      <c r="Q5" s="8" t="s">
        <v>21</v>
      </c>
    </row>
    <row r="6" spans="1:17" ht="114" x14ac:dyDescent="0.45">
      <c r="A6" s="51" t="s">
        <v>211</v>
      </c>
      <c r="B6" s="8" t="s">
        <v>24</v>
      </c>
      <c r="C6" s="8"/>
      <c r="D6" s="8"/>
      <c r="E6" s="8" t="s">
        <v>243</v>
      </c>
      <c r="F6" s="8" t="s">
        <v>27</v>
      </c>
      <c r="G6" s="8" t="s">
        <v>216</v>
      </c>
      <c r="H6" s="8" t="s">
        <v>236</v>
      </c>
      <c r="I6" s="8" t="s">
        <v>219</v>
      </c>
      <c r="J6" s="45" t="s">
        <v>223</v>
      </c>
      <c r="K6" s="8" t="s">
        <v>231</v>
      </c>
      <c r="L6" s="37" t="s">
        <v>235</v>
      </c>
      <c r="M6" s="8" t="s">
        <v>239</v>
      </c>
      <c r="N6" s="8" t="s">
        <v>25</v>
      </c>
      <c r="O6" s="8" t="s">
        <v>149</v>
      </c>
      <c r="P6" s="8" t="s">
        <v>150</v>
      </c>
      <c r="Q6" s="8" t="s">
        <v>26</v>
      </c>
    </row>
    <row r="7" spans="1:17" ht="114" x14ac:dyDescent="0.45">
      <c r="A7" s="29" t="s">
        <v>113</v>
      </c>
      <c r="B7" s="8" t="s">
        <v>237</v>
      </c>
      <c r="C7" s="8"/>
      <c r="D7" s="5"/>
      <c r="E7" s="8" t="s">
        <v>244</v>
      </c>
      <c r="F7" s="8"/>
      <c r="G7" s="8" t="s">
        <v>220</v>
      </c>
      <c r="H7" s="8" t="s">
        <v>233</v>
      </c>
      <c r="I7" s="8" t="s">
        <v>221</v>
      </c>
      <c r="J7" s="36" t="s">
        <v>224</v>
      </c>
      <c r="K7" s="8" t="s">
        <v>232</v>
      </c>
      <c r="L7" s="37" t="s">
        <v>240</v>
      </c>
      <c r="M7" s="8"/>
      <c r="N7" s="8"/>
      <c r="O7" s="8" t="s">
        <v>227</v>
      </c>
      <c r="P7" s="8" t="s">
        <v>226</v>
      </c>
      <c r="Q7" s="5"/>
    </row>
    <row r="8" spans="1:17" x14ac:dyDescent="0.45">
      <c r="F8" s="43">
        <f>SUM(G8:K8)</f>
        <v>89</v>
      </c>
      <c r="G8" s="43">
        <v>20</v>
      </c>
      <c r="H8" s="43">
        <v>22</v>
      </c>
      <c r="I8" s="43">
        <v>17</v>
      </c>
      <c r="J8" s="43">
        <v>18</v>
      </c>
      <c r="K8" s="23">
        <v>12</v>
      </c>
    </row>
    <row r="9" spans="1:17" x14ac:dyDescent="0.45">
      <c r="A9"/>
      <c r="B9"/>
      <c r="C9"/>
      <c r="E9"/>
      <c r="F9"/>
      <c r="G9"/>
    </row>
    <row r="10" spans="1:17" x14ac:dyDescent="0.45">
      <c r="A10"/>
      <c r="B10"/>
      <c r="C10"/>
      <c r="E10"/>
      <c r="F10"/>
      <c r="G10"/>
    </row>
    <row r="11" spans="1:17" x14ac:dyDescent="0.45">
      <c r="A11"/>
      <c r="B11"/>
      <c r="C11"/>
      <c r="E11"/>
      <c r="F11"/>
      <c r="G11"/>
    </row>
    <row r="12" spans="1:17" x14ac:dyDescent="0.45">
      <c r="A12"/>
      <c r="B12"/>
      <c r="C12"/>
      <c r="E12"/>
      <c r="F12"/>
      <c r="G12"/>
    </row>
    <row r="13" spans="1:17" x14ac:dyDescent="0.45">
      <c r="A13"/>
      <c r="B13"/>
      <c r="C13"/>
      <c r="E13"/>
      <c r="F13"/>
      <c r="G13"/>
    </row>
  </sheetData>
  <mergeCells count="2">
    <mergeCell ref="G1:K1"/>
    <mergeCell ref="L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showGridLines="0" workbookViewId="0">
      <selection activeCell="C8" sqref="C8"/>
    </sheetView>
  </sheetViews>
  <sheetFormatPr defaultRowHeight="14.25" x14ac:dyDescent="0.45"/>
  <cols>
    <col min="1" max="1" width="26.1328125" bestFit="1" customWidth="1"/>
    <col min="2" max="2" width="18.9296875" style="1" customWidth="1"/>
    <col min="3" max="3" width="22" customWidth="1"/>
    <col min="4" max="4" width="26.73046875" customWidth="1"/>
    <col min="5" max="5" width="15.33203125" customWidth="1"/>
    <col min="6" max="6" width="14.1328125" customWidth="1"/>
    <col min="8" max="8" width="13.46484375" bestFit="1" customWidth="1"/>
  </cols>
  <sheetData>
    <row r="1" spans="1:8" x14ac:dyDescent="0.45">
      <c r="A1" s="11" t="s">
        <v>170</v>
      </c>
      <c r="B1" s="11" t="s">
        <v>28</v>
      </c>
      <c r="C1" s="11" t="s">
        <v>166</v>
      </c>
      <c r="D1" s="11" t="s">
        <v>167</v>
      </c>
      <c r="E1" s="11" t="s">
        <v>29</v>
      </c>
      <c r="F1" s="11" t="s">
        <v>30</v>
      </c>
      <c r="G1" s="11" t="s">
        <v>31</v>
      </c>
      <c r="H1" s="11" t="s">
        <v>32</v>
      </c>
    </row>
    <row r="2" spans="1:8" ht="42.75" x14ac:dyDescent="0.45">
      <c r="A2" s="25" t="s">
        <v>153</v>
      </c>
      <c r="B2" s="31" t="s">
        <v>172</v>
      </c>
      <c r="C2" s="31" t="s">
        <v>173</v>
      </c>
      <c r="D2" s="31" t="s">
        <v>157</v>
      </c>
      <c r="E2" s="31" t="s">
        <v>159</v>
      </c>
      <c r="F2" s="31" t="s">
        <v>174</v>
      </c>
      <c r="G2" s="32" t="s">
        <v>175</v>
      </c>
      <c r="H2" s="33"/>
    </row>
    <row r="3" spans="1:8" ht="57" x14ac:dyDescent="0.45">
      <c r="A3" s="25" t="s">
        <v>165</v>
      </c>
      <c r="B3" s="31" t="s">
        <v>155</v>
      </c>
      <c r="C3" s="31" t="s">
        <v>171</v>
      </c>
      <c r="D3" s="31" t="s">
        <v>158</v>
      </c>
      <c r="E3" s="31" t="s">
        <v>161</v>
      </c>
      <c r="F3" s="31" t="s">
        <v>161</v>
      </c>
      <c r="G3" s="32" t="s">
        <v>163</v>
      </c>
      <c r="H3" s="33"/>
    </row>
    <row r="4" spans="1:8" ht="42.75" x14ac:dyDescent="0.45">
      <c r="A4" s="25" t="s">
        <v>154</v>
      </c>
      <c r="B4" s="31" t="s">
        <v>156</v>
      </c>
      <c r="C4" s="31" t="s">
        <v>198</v>
      </c>
      <c r="D4" s="31" t="s">
        <v>199</v>
      </c>
      <c r="E4" s="31" t="s">
        <v>160</v>
      </c>
      <c r="F4" s="31" t="s">
        <v>162</v>
      </c>
      <c r="G4" s="32" t="s">
        <v>164</v>
      </c>
      <c r="H4" s="33"/>
    </row>
    <row r="5" spans="1:8" x14ac:dyDescent="0.45">
      <c r="A5" s="11" t="s">
        <v>169</v>
      </c>
      <c r="B5" s="11"/>
      <c r="C5" s="11"/>
      <c r="D5" s="11"/>
      <c r="E5" s="11"/>
      <c r="F5" s="11"/>
      <c r="G5" s="11"/>
      <c r="H5" s="11"/>
    </row>
    <row r="6" spans="1:8" x14ac:dyDescent="0.45">
      <c r="A6" s="34" t="s">
        <v>7</v>
      </c>
      <c r="B6" s="8" t="s">
        <v>33</v>
      </c>
      <c r="C6" s="15" t="s">
        <v>34</v>
      </c>
      <c r="D6" s="15" t="s">
        <v>34</v>
      </c>
      <c r="E6" s="15" t="s">
        <v>34</v>
      </c>
      <c r="F6" s="16" t="s">
        <v>35</v>
      </c>
      <c r="G6" s="17" t="s">
        <v>36</v>
      </c>
      <c r="H6" s="18" t="s">
        <v>37</v>
      </c>
    </row>
    <row r="7" spans="1:8" x14ac:dyDescent="0.45">
      <c r="A7" s="35"/>
      <c r="B7" s="8" t="s">
        <v>38</v>
      </c>
      <c r="C7" s="15" t="s">
        <v>34</v>
      </c>
      <c r="D7" s="15" t="s">
        <v>34</v>
      </c>
      <c r="E7" s="15" t="s">
        <v>34</v>
      </c>
      <c r="F7" s="16" t="s">
        <v>35</v>
      </c>
      <c r="G7" s="17" t="s">
        <v>36</v>
      </c>
      <c r="H7" s="18" t="s">
        <v>37</v>
      </c>
    </row>
    <row r="8" spans="1:8" x14ac:dyDescent="0.45">
      <c r="A8" s="34" t="s">
        <v>10</v>
      </c>
      <c r="B8" s="8" t="s">
        <v>39</v>
      </c>
      <c r="C8" s="16" t="s">
        <v>35</v>
      </c>
      <c r="D8" s="15" t="s">
        <v>34</v>
      </c>
      <c r="E8" s="15" t="s">
        <v>34</v>
      </c>
      <c r="F8" s="16" t="s">
        <v>35</v>
      </c>
      <c r="G8" s="17" t="s">
        <v>36</v>
      </c>
      <c r="H8" s="18" t="s">
        <v>37</v>
      </c>
    </row>
    <row r="9" spans="1:8" x14ac:dyDescent="0.45">
      <c r="A9" s="35"/>
      <c r="B9" s="8" t="s">
        <v>40</v>
      </c>
      <c r="C9" s="15" t="s">
        <v>34</v>
      </c>
      <c r="D9" s="15" t="s">
        <v>34</v>
      </c>
      <c r="E9" s="15" t="s">
        <v>34</v>
      </c>
      <c r="F9" s="16" t="s">
        <v>35</v>
      </c>
      <c r="G9" s="17" t="s">
        <v>36</v>
      </c>
      <c r="H9" s="18" t="s">
        <v>37</v>
      </c>
    </row>
    <row r="10" spans="1:8" x14ac:dyDescent="0.45">
      <c r="A10" s="34" t="s">
        <v>16</v>
      </c>
      <c r="B10" s="8" t="s">
        <v>41</v>
      </c>
      <c r="C10" s="19" t="s">
        <v>43</v>
      </c>
      <c r="D10" s="17" t="s">
        <v>36</v>
      </c>
      <c r="E10" s="15" t="s">
        <v>34</v>
      </c>
      <c r="F10" s="15" t="s">
        <v>34</v>
      </c>
      <c r="G10" s="16" t="s">
        <v>35</v>
      </c>
      <c r="H10" s="18" t="s">
        <v>37</v>
      </c>
    </row>
    <row r="11" spans="1:8" x14ac:dyDescent="0.45">
      <c r="A11" s="35"/>
      <c r="B11" s="8" t="s">
        <v>42</v>
      </c>
      <c r="C11" s="19" t="s">
        <v>43</v>
      </c>
      <c r="D11" s="17" t="s">
        <v>36</v>
      </c>
      <c r="E11" s="16" t="s">
        <v>35</v>
      </c>
      <c r="F11" s="15" t="s">
        <v>34</v>
      </c>
      <c r="G11" s="15" t="s">
        <v>34</v>
      </c>
      <c r="H11" s="18" t="s">
        <v>37</v>
      </c>
    </row>
    <row r="12" spans="1:8" ht="28.5" customHeight="1" x14ac:dyDescent="0.45">
      <c r="A12" s="34" t="s">
        <v>168</v>
      </c>
      <c r="B12" s="8" t="s">
        <v>44</v>
      </c>
      <c r="C12" s="15" t="s">
        <v>34</v>
      </c>
      <c r="D12" s="15" t="s">
        <v>34</v>
      </c>
      <c r="E12" s="16" t="s">
        <v>35</v>
      </c>
      <c r="F12" s="16" t="s">
        <v>35</v>
      </c>
      <c r="G12" s="17" t="s">
        <v>36</v>
      </c>
      <c r="H12" s="18" t="s">
        <v>37</v>
      </c>
    </row>
    <row r="13" spans="1:8" x14ac:dyDescent="0.45">
      <c r="A13" s="35"/>
      <c r="B13" s="8" t="s">
        <v>45</v>
      </c>
      <c r="C13" s="19" t="s">
        <v>43</v>
      </c>
      <c r="D13" s="17" t="s">
        <v>36</v>
      </c>
      <c r="E13" s="17" t="s">
        <v>36</v>
      </c>
      <c r="F13" s="16" t="s">
        <v>35</v>
      </c>
      <c r="G13" s="15" t="s">
        <v>34</v>
      </c>
      <c r="H13" s="18" t="s">
        <v>37</v>
      </c>
    </row>
  </sheetData>
  <mergeCells count="7">
    <mergeCell ref="A12:A13"/>
    <mergeCell ref="G2:H2"/>
    <mergeCell ref="G3:H3"/>
    <mergeCell ref="G4:H4"/>
    <mergeCell ref="A6:A7"/>
    <mergeCell ref="A8:A9"/>
    <mergeCell ref="A10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showGridLines="0" workbookViewId="0">
      <selection activeCell="B10" sqref="B10"/>
    </sheetView>
  </sheetViews>
  <sheetFormatPr defaultColWidth="0" defaultRowHeight="14.25" x14ac:dyDescent="0.45"/>
  <cols>
    <col min="1" max="1" width="41.265625" bestFit="1" customWidth="1"/>
    <col min="2" max="12" width="9.06640625" customWidth="1"/>
    <col min="13" max="16384" width="9.06640625" hidden="1"/>
  </cols>
  <sheetData>
    <row r="1" spans="1:11" ht="28.5" customHeight="1" x14ac:dyDescent="0.45">
      <c r="A1" s="9" t="s">
        <v>260</v>
      </c>
      <c r="B1" s="9" t="s">
        <v>178</v>
      </c>
      <c r="C1" s="9" t="s">
        <v>179</v>
      </c>
      <c r="D1" s="9" t="s">
        <v>180</v>
      </c>
      <c r="E1" s="9" t="s">
        <v>181</v>
      </c>
      <c r="F1" s="9" t="s">
        <v>182</v>
      </c>
      <c r="G1" s="9" t="s">
        <v>183</v>
      </c>
      <c r="H1" s="9" t="s">
        <v>184</v>
      </c>
      <c r="I1" s="9" t="s">
        <v>185</v>
      </c>
      <c r="J1" s="9" t="s">
        <v>186</v>
      </c>
      <c r="K1" s="9" t="s">
        <v>187</v>
      </c>
    </row>
    <row r="2" spans="1:11" x14ac:dyDescent="0.45">
      <c r="A2" s="5" t="s">
        <v>188</v>
      </c>
      <c r="B2" s="30" t="s">
        <v>189</v>
      </c>
      <c r="C2" s="30" t="s">
        <v>189</v>
      </c>
      <c r="D2" s="30" t="s">
        <v>189</v>
      </c>
      <c r="E2" s="30" t="s">
        <v>189</v>
      </c>
      <c r="F2" s="57"/>
      <c r="G2" s="57"/>
      <c r="H2" s="58"/>
      <c r="I2" s="58"/>
      <c r="J2" s="59"/>
      <c r="K2" s="59"/>
    </row>
    <row r="3" spans="1:11" x14ac:dyDescent="0.45">
      <c r="A3" s="5" t="s">
        <v>190</v>
      </c>
      <c r="B3" s="30" t="s">
        <v>189</v>
      </c>
      <c r="C3" s="30" t="s">
        <v>189</v>
      </c>
      <c r="D3" s="30" t="s">
        <v>189</v>
      </c>
      <c r="E3" s="30" t="s">
        <v>189</v>
      </c>
      <c r="F3" s="57"/>
      <c r="G3" s="57"/>
      <c r="H3" s="58"/>
      <c r="I3" s="58"/>
      <c r="J3" s="59"/>
      <c r="K3" s="59"/>
    </row>
    <row r="4" spans="1:11" x14ac:dyDescent="0.45">
      <c r="A4" s="5" t="s">
        <v>39</v>
      </c>
      <c r="B4" s="57"/>
      <c r="C4" s="30" t="s">
        <v>189</v>
      </c>
      <c r="D4" s="30" t="s">
        <v>189</v>
      </c>
      <c r="E4" s="30" t="s">
        <v>189</v>
      </c>
      <c r="F4" s="57"/>
      <c r="G4" s="57"/>
      <c r="H4" s="58"/>
      <c r="I4" s="58"/>
      <c r="J4" s="59"/>
      <c r="K4" s="59"/>
    </row>
    <row r="5" spans="1:11" x14ac:dyDescent="0.45">
      <c r="A5" s="5" t="s">
        <v>191</v>
      </c>
      <c r="B5" s="5"/>
      <c r="C5" s="30" t="s">
        <v>189</v>
      </c>
      <c r="D5" s="30" t="s">
        <v>189</v>
      </c>
      <c r="E5" s="30" t="s">
        <v>189</v>
      </c>
      <c r="F5" s="30" t="s">
        <v>189</v>
      </c>
      <c r="G5" s="30" t="s">
        <v>189</v>
      </c>
      <c r="H5" s="5"/>
      <c r="I5" s="5"/>
      <c r="J5" s="5"/>
      <c r="K5" s="5"/>
    </row>
    <row r="6" spans="1:11" x14ac:dyDescent="0.45">
      <c r="A6" s="5" t="s">
        <v>192</v>
      </c>
      <c r="B6" s="5"/>
      <c r="C6" s="30" t="s">
        <v>189</v>
      </c>
      <c r="D6" s="30" t="s">
        <v>189</v>
      </c>
      <c r="E6" s="30" t="s">
        <v>189</v>
      </c>
      <c r="F6" s="30" t="s">
        <v>189</v>
      </c>
      <c r="G6" s="30" t="s">
        <v>189</v>
      </c>
      <c r="H6" s="5"/>
      <c r="I6" s="5"/>
      <c r="J6" s="5"/>
      <c r="K6" s="5"/>
    </row>
    <row r="7" spans="1:11" x14ac:dyDescent="0.45">
      <c r="A7" s="5" t="s">
        <v>193</v>
      </c>
      <c r="B7" s="5"/>
      <c r="C7" s="30" t="s">
        <v>189</v>
      </c>
      <c r="D7" s="30" t="s">
        <v>189</v>
      </c>
      <c r="E7" s="30" t="s">
        <v>189</v>
      </c>
      <c r="F7" s="5"/>
      <c r="G7" s="5"/>
      <c r="H7" s="5"/>
      <c r="I7" s="5"/>
      <c r="J7" s="5"/>
      <c r="K7" s="5"/>
    </row>
    <row r="8" spans="1:11" x14ac:dyDescent="0.45">
      <c r="A8" s="5" t="s">
        <v>194</v>
      </c>
      <c r="B8" s="5"/>
      <c r="C8" s="5"/>
      <c r="D8" s="5"/>
      <c r="E8" s="5"/>
      <c r="F8" s="30" t="s">
        <v>189</v>
      </c>
      <c r="G8" s="30" t="s">
        <v>189</v>
      </c>
      <c r="H8" s="30" t="s">
        <v>189</v>
      </c>
      <c r="I8" s="30" t="s">
        <v>189</v>
      </c>
      <c r="J8" s="5"/>
      <c r="K8" s="5"/>
    </row>
    <row r="9" spans="1:11" x14ac:dyDescent="0.45">
      <c r="A9" s="5" t="s">
        <v>195</v>
      </c>
      <c r="B9" s="5"/>
      <c r="C9" s="5"/>
      <c r="D9" s="30" t="s">
        <v>189</v>
      </c>
      <c r="E9" s="30" t="s">
        <v>189</v>
      </c>
      <c r="F9" s="30" t="s">
        <v>189</v>
      </c>
      <c r="G9" s="30" t="s">
        <v>189</v>
      </c>
      <c r="H9" s="30" t="s">
        <v>189</v>
      </c>
      <c r="I9" s="30" t="s">
        <v>189</v>
      </c>
      <c r="J9" s="30" t="s">
        <v>189</v>
      </c>
      <c r="K9" s="30" t="s">
        <v>189</v>
      </c>
    </row>
    <row r="10" spans="1:11" x14ac:dyDescent="0.45">
      <c r="A10" s="5" t="s">
        <v>196</v>
      </c>
      <c r="B10" s="5"/>
      <c r="C10" s="5"/>
      <c r="D10" s="30" t="s">
        <v>189</v>
      </c>
      <c r="E10" s="30" t="s">
        <v>189</v>
      </c>
      <c r="F10" s="30" t="s">
        <v>189</v>
      </c>
      <c r="G10" s="30" t="s">
        <v>189</v>
      </c>
      <c r="H10" s="30" t="s">
        <v>189</v>
      </c>
      <c r="I10" s="30" t="s">
        <v>189</v>
      </c>
      <c r="J10" s="5"/>
      <c r="K10" s="5"/>
    </row>
    <row r="11" spans="1:11" x14ac:dyDescent="0.45">
      <c r="A11" s="5" t="s">
        <v>197</v>
      </c>
      <c r="B11" s="5"/>
      <c r="C11" s="5"/>
      <c r="D11" s="5"/>
      <c r="E11" s="5"/>
      <c r="F11" s="5"/>
      <c r="G11" s="5"/>
      <c r="H11" s="30" t="s">
        <v>189</v>
      </c>
      <c r="I11" s="30" t="s">
        <v>189</v>
      </c>
      <c r="J11" s="30" t="s">
        <v>189</v>
      </c>
      <c r="K11" s="30" t="s">
        <v>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workbookViewId="0">
      <selection activeCell="B2" sqref="B2"/>
    </sheetView>
  </sheetViews>
  <sheetFormatPr defaultRowHeight="14.25" x14ac:dyDescent="0.45"/>
  <cols>
    <col min="1" max="1" width="22.3984375" bestFit="1" customWidth="1"/>
    <col min="2" max="2" width="8" customWidth="1"/>
    <col min="4" max="4" width="12.6640625" customWidth="1"/>
    <col min="7" max="7" width="15.46484375" customWidth="1"/>
  </cols>
  <sheetData>
    <row r="1" spans="1:8" s="1" customFormat="1" ht="28.5" x14ac:dyDescent="0.45">
      <c r="A1" s="11" t="s">
        <v>46</v>
      </c>
      <c r="B1" s="11" t="s">
        <v>47</v>
      </c>
      <c r="C1" s="11" t="s">
        <v>48</v>
      </c>
      <c r="D1" s="11" t="s">
        <v>49</v>
      </c>
      <c r="E1" s="11" t="s">
        <v>50</v>
      </c>
      <c r="F1" s="11" t="s">
        <v>51</v>
      </c>
      <c r="G1" s="11" t="s">
        <v>52</v>
      </c>
      <c r="H1" s="11" t="s">
        <v>53</v>
      </c>
    </row>
    <row r="2" spans="1:8" x14ac:dyDescent="0.45">
      <c r="A2" s="5" t="s">
        <v>54</v>
      </c>
      <c r="B2" s="5" t="s">
        <v>55</v>
      </c>
      <c r="C2" s="5" t="s">
        <v>56</v>
      </c>
      <c r="D2" s="5" t="s">
        <v>57</v>
      </c>
      <c r="E2" s="5" t="s">
        <v>58</v>
      </c>
      <c r="F2" s="5" t="s">
        <v>59</v>
      </c>
      <c r="G2" s="5" t="s">
        <v>60</v>
      </c>
      <c r="H2" s="5" t="s">
        <v>61</v>
      </c>
    </row>
    <row r="3" spans="1:8" x14ac:dyDescent="0.45">
      <c r="A3" s="5" t="s">
        <v>62</v>
      </c>
      <c r="B3" s="5" t="s">
        <v>63</v>
      </c>
      <c r="C3" s="5" t="s">
        <v>64</v>
      </c>
      <c r="D3" s="5" t="s">
        <v>65</v>
      </c>
      <c r="E3" s="5" t="s">
        <v>66</v>
      </c>
      <c r="F3" s="5" t="s">
        <v>67</v>
      </c>
      <c r="G3" s="5" t="s">
        <v>68</v>
      </c>
      <c r="H3" s="5" t="s">
        <v>61</v>
      </c>
    </row>
    <row r="4" spans="1:8" x14ac:dyDescent="0.45">
      <c r="A4" s="5" t="s">
        <v>69</v>
      </c>
      <c r="B4" s="5" t="s">
        <v>70</v>
      </c>
      <c r="C4" s="5" t="s">
        <v>71</v>
      </c>
      <c r="D4" s="5" t="s">
        <v>72</v>
      </c>
      <c r="E4" s="5" t="s">
        <v>73</v>
      </c>
      <c r="F4" s="5" t="s">
        <v>74</v>
      </c>
      <c r="G4" s="5" t="s">
        <v>75</v>
      </c>
      <c r="H4" s="5" t="s">
        <v>61</v>
      </c>
    </row>
    <row r="5" spans="1:8" x14ac:dyDescent="0.45">
      <c r="A5" s="5" t="s">
        <v>76</v>
      </c>
      <c r="B5" s="5" t="s">
        <v>77</v>
      </c>
      <c r="C5" s="5" t="s">
        <v>78</v>
      </c>
      <c r="D5" s="5" t="s">
        <v>79</v>
      </c>
      <c r="E5" s="5" t="s">
        <v>80</v>
      </c>
      <c r="F5" s="5" t="s">
        <v>81</v>
      </c>
      <c r="G5" s="5" t="s">
        <v>82</v>
      </c>
      <c r="H5" s="5" t="s">
        <v>83</v>
      </c>
    </row>
    <row r="6" spans="1:8" x14ac:dyDescent="0.45">
      <c r="A6" s="5" t="s">
        <v>84</v>
      </c>
      <c r="B6" s="5" t="s">
        <v>43</v>
      </c>
      <c r="C6" s="5" t="s">
        <v>85</v>
      </c>
      <c r="D6" s="5" t="s">
        <v>86</v>
      </c>
      <c r="E6" s="5" t="s">
        <v>87</v>
      </c>
      <c r="F6" s="5" t="s">
        <v>88</v>
      </c>
      <c r="G6" s="5" t="s">
        <v>89</v>
      </c>
      <c r="H6" s="5" t="s">
        <v>90</v>
      </c>
    </row>
    <row r="7" spans="1:8" s="1" customFormat="1" ht="28.5" x14ac:dyDescent="0.45">
      <c r="A7" s="8" t="s">
        <v>91</v>
      </c>
      <c r="B7" s="8" t="s">
        <v>92</v>
      </c>
      <c r="C7" s="8" t="s">
        <v>93</v>
      </c>
      <c r="D7" s="8" t="s">
        <v>94</v>
      </c>
      <c r="E7" s="8" t="s">
        <v>66</v>
      </c>
      <c r="F7" s="8" t="s">
        <v>95</v>
      </c>
      <c r="G7" s="8" t="s">
        <v>96</v>
      </c>
      <c r="H7" s="8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Leadership Charter</vt:lpstr>
      <vt:lpstr>Intervention Design</vt:lpstr>
      <vt:lpstr>Intervention Heatmap</vt:lpstr>
      <vt:lpstr>Gantt</vt:lpstr>
      <vt:lpstr>KPI Tracker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2026-01-15T02:08:12Z</dcterms:created>
  <dcterms:modified xsi:type="dcterms:W3CDTF">2026-01-18T16:05:18Z</dcterms:modified>
</cp:coreProperties>
</file>